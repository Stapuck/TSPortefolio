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en\Downloads\"/>
    </mc:Choice>
  </mc:AlternateContent>
  <xr:revisionPtr revIDLastSave="0" documentId="13_ncr:1_{50A712E5-9EC7-4F2D-9E87-3BCC6F9B5226}" xr6:coauthVersionLast="47" xr6:coauthVersionMax="47" xr10:uidLastSave="{00000000-0000-0000-0000-000000000000}"/>
  <bookViews>
    <workbookView xWindow="-98" yWindow="-98" windowWidth="21795" windowHeight="12975" xr2:uid="{C63625D2-A97E-479D-90E4-500D9A789941}"/>
  </bookViews>
  <sheets>
    <sheet name="Intro" sheetId="4" r:id="rId1"/>
    <sheet name="2025" sheetId="1" r:id="rId2"/>
    <sheet name="2026" sheetId="2" r:id="rId3"/>
    <sheet name="2027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6" i="3" l="1"/>
  <c r="L15" i="3"/>
  <c r="L14" i="3"/>
  <c r="L13" i="3"/>
  <c r="L12" i="3"/>
  <c r="L11" i="3"/>
  <c r="L10" i="3"/>
  <c r="H10" i="3"/>
  <c r="J18" i="3"/>
  <c r="L8" i="3"/>
  <c r="I18" i="3"/>
  <c r="H18" i="3"/>
  <c r="G18" i="3"/>
  <c r="F18" i="3"/>
  <c r="D18" i="3"/>
  <c r="AD21" i="2"/>
  <c r="W20" i="1"/>
  <c r="F18" i="1"/>
  <c r="D18" i="1"/>
  <c r="H16" i="1"/>
  <c r="E15" i="1"/>
  <c r="E18" i="1" s="1"/>
  <c r="H14" i="1"/>
  <c r="H13" i="1"/>
  <c r="H12" i="1"/>
  <c r="H11" i="1"/>
  <c r="H10" i="1"/>
  <c r="H8" i="1"/>
  <c r="J17" i="2"/>
  <c r="I17" i="2"/>
  <c r="H17" i="2"/>
  <c r="G17" i="2"/>
  <c r="E17" i="2"/>
  <c r="L15" i="2"/>
  <c r="F14" i="2"/>
  <c r="L14" i="2" s="1"/>
  <c r="L13" i="2"/>
  <c r="L12" i="2"/>
  <c r="L11" i="2"/>
  <c r="L10" i="2"/>
  <c r="L9" i="2"/>
  <c r="L7" i="2"/>
  <c r="L18" i="3" l="1"/>
  <c r="D19" i="3" s="1"/>
  <c r="E18" i="3"/>
  <c r="H15" i="1"/>
  <c r="L17" i="2"/>
  <c r="F17" i="2"/>
  <c r="E19" i="3" l="1"/>
  <c r="J19" i="3"/>
  <c r="N10" i="3"/>
  <c r="N11" i="3"/>
  <c r="I19" i="3"/>
  <c r="H19" i="3"/>
  <c r="G19" i="3"/>
  <c r="F19" i="3"/>
  <c r="N16" i="3"/>
  <c r="N15" i="3"/>
  <c r="N14" i="3"/>
  <c r="N13" i="3"/>
  <c r="N12" i="3"/>
  <c r="N9" i="2"/>
  <c r="N10" i="2"/>
  <c r="N11" i="2"/>
  <c r="N12" i="2"/>
  <c r="N13" i="2"/>
  <c r="N14" i="2"/>
  <c r="N15" i="2"/>
  <c r="E18" i="2"/>
  <c r="F18" i="2"/>
  <c r="G18" i="2"/>
  <c r="H18" i="2"/>
  <c r="I18" i="2"/>
  <c r="J18" i="2"/>
  <c r="H18" i="1"/>
  <c r="J15" i="1" s="1"/>
  <c r="J14" i="1" l="1"/>
  <c r="D19" i="1"/>
  <c r="F19" i="1"/>
  <c r="J10" i="1"/>
  <c r="J11" i="1"/>
  <c r="J12" i="1"/>
  <c r="J13" i="1"/>
  <c r="E19" i="1"/>
  <c r="J16" i="1"/>
</calcChain>
</file>

<file path=xl/sharedStrings.xml><?xml version="1.0" encoding="utf-8"?>
<sst xmlns="http://schemas.openxmlformats.org/spreadsheetml/2006/main" count="253" uniqueCount="114">
  <si>
    <t>paid</t>
  </si>
  <si>
    <t>Total</t>
  </si>
  <si>
    <t xml:space="preserve">provisional </t>
  </si>
  <si>
    <t xml:space="preserve">type </t>
  </si>
  <si>
    <t>WCS</t>
  </si>
  <si>
    <t>TC</t>
  </si>
  <si>
    <t>WC</t>
  </si>
  <si>
    <t>TRI</t>
  </si>
  <si>
    <t>City</t>
  </si>
  <si>
    <t>OKC</t>
  </si>
  <si>
    <t>Seu</t>
  </si>
  <si>
    <t>VSM</t>
  </si>
  <si>
    <t>SEU</t>
  </si>
  <si>
    <t>PASSY</t>
  </si>
  <si>
    <t>Duration</t>
  </si>
  <si>
    <t>Accomodation</t>
  </si>
  <si>
    <t>Transportation</t>
  </si>
  <si>
    <t>Accreditation fees</t>
  </si>
  <si>
    <t>Food</t>
  </si>
  <si>
    <t>Training</t>
  </si>
  <si>
    <t>Coaching</t>
  </si>
  <si>
    <t>Other*</t>
  </si>
  <si>
    <t>* : can be esim, insurance, additional fees, …</t>
  </si>
  <si>
    <t>Foix</t>
  </si>
  <si>
    <t>Prague</t>
  </si>
  <si>
    <t>Tacen</t>
  </si>
  <si>
    <t>Pula</t>
  </si>
  <si>
    <t>id</t>
  </si>
  <si>
    <t>Name</t>
  </si>
  <si>
    <t>date debut</t>
  </si>
  <si>
    <t>date fin</t>
  </si>
  <si>
    <t>cadre</t>
  </si>
  <si>
    <t>durée (j)</t>
  </si>
  <si>
    <t>Ville</t>
  </si>
  <si>
    <t>Pays</t>
  </si>
  <si>
    <t>description</t>
  </si>
  <si>
    <t>Budget prévisionnel</t>
  </si>
  <si>
    <t>Cout</t>
  </si>
  <si>
    <t>Cout reel</t>
  </si>
  <si>
    <t>Pycup Pau</t>
  </si>
  <si>
    <t>Sportif</t>
  </si>
  <si>
    <t>Pau</t>
  </si>
  <si>
    <t>FRA</t>
  </si>
  <si>
    <t>N1 foix</t>
  </si>
  <si>
    <t>N1 n°2</t>
  </si>
  <si>
    <t>Foix Training camp 1</t>
  </si>
  <si>
    <t>Entrainement</t>
  </si>
  <si>
    <t>Foix Training camp 2</t>
  </si>
  <si>
    <t>Foix training camp 3</t>
  </si>
  <si>
    <t>WC SEU 2025</t>
  </si>
  <si>
    <t>ESP</t>
  </si>
  <si>
    <t>WC 2025 Seu</t>
  </si>
  <si>
    <t>WC PAU 2025</t>
  </si>
  <si>
    <t>WC 2025 Pau</t>
  </si>
  <si>
    <t>WCS U23 Foix</t>
  </si>
  <si>
    <t>Championnat du monde U23</t>
  </si>
  <si>
    <t>Pro</t>
  </si>
  <si>
    <t>CRO</t>
  </si>
  <si>
    <t>Mobilité International</t>
  </si>
  <si>
    <t>TC Prague</t>
  </si>
  <si>
    <t>CZE</t>
  </si>
  <si>
    <t>training camp Prague &amp; co</t>
  </si>
  <si>
    <t>WC Tacen 2025</t>
  </si>
  <si>
    <t>SLO</t>
  </si>
  <si>
    <t>WC 2025 Tacen</t>
  </si>
  <si>
    <t>Marathon Toulouse</t>
  </si>
  <si>
    <t>Toulouse</t>
  </si>
  <si>
    <t>Marathon de Toulouse 2025</t>
  </si>
  <si>
    <t>After event recap</t>
  </si>
  <si>
    <t xml:space="preserve">and  my global recap  per event </t>
  </si>
  <si>
    <t xml:space="preserve">I have a sheet with all the expenses in the different categorie but  for privacy I won't show them publicly </t>
  </si>
  <si>
    <t>Ask if you wish to see each event details  ;)</t>
  </si>
  <si>
    <t>*******</t>
  </si>
  <si>
    <t>****</t>
  </si>
  <si>
    <t>1,500,00</t>
  </si>
  <si>
    <t>1,293,96</t>
  </si>
  <si>
    <t>2,784,41</t>
  </si>
  <si>
    <t>private data</t>
  </si>
  <si>
    <t xml:space="preserve">MI Croatie internship </t>
  </si>
  <si>
    <t xml:space="preserve">example of what it's look like </t>
  </si>
  <si>
    <t xml:space="preserve">major event </t>
  </si>
  <si>
    <t>RSA CAC</t>
  </si>
  <si>
    <t>Underberg</t>
  </si>
  <si>
    <t>RSA</t>
  </si>
  <si>
    <t>Championnat d'afrique</t>
  </si>
  <si>
    <t>tls date</t>
  </si>
  <si>
    <t>Perso</t>
  </si>
  <si>
    <t>TLS</t>
  </si>
  <si>
    <t>Visite de la ville</t>
  </si>
  <si>
    <t>champion race</t>
  </si>
  <si>
    <t>py cup Pau</t>
  </si>
  <si>
    <t>N2 saint pierre</t>
  </si>
  <si>
    <t>Saint pierre</t>
  </si>
  <si>
    <t>TC Seu</t>
  </si>
  <si>
    <t>Training calmp Seu</t>
  </si>
  <si>
    <t>N2 orthez</t>
  </si>
  <si>
    <t>Orthez</t>
  </si>
  <si>
    <t>TC Foix</t>
  </si>
  <si>
    <t>Training camp Foix</t>
  </si>
  <si>
    <t>N2 foix</t>
  </si>
  <si>
    <t>Worldchampîonship Senior</t>
  </si>
  <si>
    <t>Okc</t>
  </si>
  <si>
    <t>USA</t>
  </si>
  <si>
    <t>TC VSM</t>
  </si>
  <si>
    <t>World cup 4 VSM</t>
  </si>
  <si>
    <t>World cup 5 SEU</t>
  </si>
  <si>
    <t xml:space="preserve">Triathlon Passy </t>
  </si>
  <si>
    <t xml:space="preserve">Passy </t>
  </si>
  <si>
    <t>Reunion</t>
  </si>
  <si>
    <t>Augsburg</t>
  </si>
  <si>
    <t>LV</t>
  </si>
  <si>
    <t>**</t>
  </si>
  <si>
    <t xml:space="preserve">** : training camp will be add to prepare races </t>
  </si>
  <si>
    <t xml:space="preserve">In this document u will find my season previsional budget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</si>
</sst>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B7B7B7"/>
      <name val="Arial"/>
      <family val="2"/>
    </font>
    <font>
      <sz val="11"/>
      <color theme="5" tint="-0.499984740745262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4" borderId="0" xfId="0" applyFont="1" applyFill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0" fontId="1" fillId="0" borderId="0" xfId="0" quotePrefix="1" applyFont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/>
    <xf numFmtId="0" fontId="3" fillId="0" borderId="0" xfId="0" applyFont="1"/>
    <xf numFmtId="0" fontId="1" fillId="5" borderId="0" xfId="0" applyFont="1" applyFill="1" applyAlignment="1">
      <alignment horizontal="center" wrapText="1"/>
    </xf>
    <xf numFmtId="14" fontId="1" fillId="0" borderId="0" xfId="0" applyNumberFormat="1" applyFont="1" applyAlignment="1">
      <alignment horizontal="right" wrapText="1"/>
    </xf>
    <xf numFmtId="0" fontId="1" fillId="6" borderId="0" xfId="0" applyFont="1" applyFill="1" applyAlignment="1">
      <alignment horizontal="center" wrapText="1"/>
    </xf>
    <xf numFmtId="0" fontId="1" fillId="0" borderId="0" xfId="0" applyFont="1" applyFill="1" applyAlignment="1">
      <alignment wrapText="1"/>
    </xf>
    <xf numFmtId="14" fontId="1" fillId="0" borderId="0" xfId="0" applyNumberFormat="1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509867</xdr:colOff>
      <xdr:row>13</xdr:row>
      <xdr:rowOff>5603</xdr:rowOff>
    </xdr:from>
    <xdr:to>
      <xdr:col>9</xdr:col>
      <xdr:colOff>168087</xdr:colOff>
      <xdr:row>33</xdr:row>
      <xdr:rowOff>38626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CF7D84-421A-7665-186A-8248AFF6B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9808" y="2336427"/>
          <a:ext cx="4857750" cy="3618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FD41E-E059-40AA-8586-783F88FCCB7E}">
  <dimension ref="B3:E12"/>
  <sheetViews>
    <sheetView tabSelected="1" zoomScale="85" zoomScaleNormal="85" workbookViewId="0">
      <selection activeCell="L22" sqref="L22"/>
    </sheetView>
  </sheetViews>
  <sheetFormatPr defaultRowHeight="14.25" x14ac:dyDescent="0.45"/>
  <sheetData>
    <row r="3" spans="2:5" x14ac:dyDescent="0.45">
      <c r="B3" t="s">
        <v>113</v>
      </c>
    </row>
    <row r="7" spans="2:5" x14ac:dyDescent="0.45">
      <c r="B7" t="s">
        <v>69</v>
      </c>
      <c r="E7" t="s">
        <v>70</v>
      </c>
    </row>
    <row r="9" spans="2:5" x14ac:dyDescent="0.45">
      <c r="B9" t="s">
        <v>71</v>
      </c>
    </row>
    <row r="12" spans="2:5" x14ac:dyDescent="0.45">
      <c r="B12" t="s">
        <v>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D77A-B671-4C34-897A-262F28135C63}">
  <dimension ref="B4:X22"/>
  <sheetViews>
    <sheetView zoomScale="85" zoomScaleNormal="85" workbookViewId="0">
      <selection activeCell="M4" sqref="M4"/>
    </sheetView>
  </sheetViews>
  <sheetFormatPr defaultRowHeight="14.25" x14ac:dyDescent="0.45"/>
  <cols>
    <col min="3" max="3" width="27.59765625" customWidth="1"/>
    <col min="4" max="5" width="9.9296875" bestFit="1" customWidth="1"/>
    <col min="7" max="7" width="3.73046875" customWidth="1"/>
    <col min="10" max="10" width="33.796875" customWidth="1"/>
    <col min="11" max="11" width="12.265625" customWidth="1"/>
    <col min="12" max="12" width="12.1328125" customWidth="1"/>
    <col min="13" max="13" width="11.796875" customWidth="1"/>
    <col min="14" max="14" width="25.59765625" customWidth="1"/>
    <col min="15" max="15" width="25.9296875" customWidth="1"/>
    <col min="16" max="18" width="26.3984375" customWidth="1"/>
    <col min="19" max="19" width="20.9296875" customWidth="1"/>
    <col min="20" max="20" width="21.3984375" customWidth="1"/>
    <col min="21" max="21" width="34.265625" customWidth="1"/>
    <col min="22" max="24" width="23.9296875" customWidth="1"/>
  </cols>
  <sheetData>
    <row r="4" spans="2:24" x14ac:dyDescent="0.45">
      <c r="C4" t="s">
        <v>80</v>
      </c>
      <c r="M4" t="s">
        <v>68</v>
      </c>
    </row>
    <row r="5" spans="2:24" x14ac:dyDescent="0.45">
      <c r="D5" s="3">
        <v>2025</v>
      </c>
      <c r="E5" s="3"/>
      <c r="F5" s="3"/>
      <c r="G5" s="3"/>
      <c r="H5" t="s">
        <v>1</v>
      </c>
    </row>
    <row r="6" spans="2:24" x14ac:dyDescent="0.45">
      <c r="B6" t="s">
        <v>3</v>
      </c>
      <c r="D6" s="5" t="s">
        <v>4</v>
      </c>
      <c r="E6" s="5" t="s">
        <v>5</v>
      </c>
      <c r="F6" s="5" t="s">
        <v>6</v>
      </c>
      <c r="G6" s="5"/>
      <c r="M6" s="10" t="s">
        <v>27</v>
      </c>
      <c r="N6" s="10" t="s">
        <v>28</v>
      </c>
      <c r="O6" s="10" t="s">
        <v>29</v>
      </c>
      <c r="P6" s="10" t="s">
        <v>30</v>
      </c>
      <c r="Q6" s="10" t="s">
        <v>31</v>
      </c>
      <c r="R6" s="10" t="s">
        <v>32</v>
      </c>
      <c r="S6" s="10" t="s">
        <v>33</v>
      </c>
      <c r="T6" s="10" t="s">
        <v>34</v>
      </c>
      <c r="U6" s="10" t="s">
        <v>35</v>
      </c>
      <c r="V6" s="10" t="s">
        <v>36</v>
      </c>
      <c r="W6" s="10" t="s">
        <v>38</v>
      </c>
    </row>
    <row r="7" spans="2:24" x14ac:dyDescent="0.45">
      <c r="B7" t="s">
        <v>8</v>
      </c>
      <c r="D7" s="5" t="s">
        <v>23</v>
      </c>
      <c r="E7" s="5" t="s">
        <v>24</v>
      </c>
      <c r="F7" s="5" t="s">
        <v>25</v>
      </c>
      <c r="G7" s="5"/>
      <c r="M7" s="12">
        <v>1</v>
      </c>
      <c r="N7" s="11" t="s">
        <v>39</v>
      </c>
      <c r="O7" s="13">
        <v>45723</v>
      </c>
      <c r="P7" s="13">
        <v>45725</v>
      </c>
      <c r="Q7" s="11" t="s">
        <v>40</v>
      </c>
      <c r="R7" s="10">
        <v>3</v>
      </c>
      <c r="S7" s="11" t="s">
        <v>41</v>
      </c>
      <c r="T7" s="11" t="s">
        <v>42</v>
      </c>
      <c r="U7" s="11" t="s">
        <v>39</v>
      </c>
      <c r="V7" s="10">
        <v>60</v>
      </c>
      <c r="W7" s="10">
        <v>40</v>
      </c>
    </row>
    <row r="8" spans="2:24" x14ac:dyDescent="0.45">
      <c r="B8" t="s">
        <v>14</v>
      </c>
      <c r="D8" s="5">
        <v>14</v>
      </c>
      <c r="E8" s="5">
        <v>5</v>
      </c>
      <c r="F8" s="5">
        <v>7</v>
      </c>
      <c r="G8" s="5"/>
      <c r="H8" s="6">
        <f>SUM(D8:G8)</f>
        <v>26</v>
      </c>
      <c r="M8" s="12">
        <v>2</v>
      </c>
      <c r="N8" s="11" t="s">
        <v>43</v>
      </c>
      <c r="O8" s="13">
        <v>45763</v>
      </c>
      <c r="P8" s="13">
        <v>45768</v>
      </c>
      <c r="Q8" s="11" t="s">
        <v>40</v>
      </c>
      <c r="R8" s="10">
        <v>6</v>
      </c>
      <c r="S8" s="11" t="s">
        <v>23</v>
      </c>
      <c r="T8" s="11" t="s">
        <v>42</v>
      </c>
      <c r="U8" s="11" t="s">
        <v>44</v>
      </c>
      <c r="V8" s="10">
        <v>250</v>
      </c>
      <c r="W8" s="10">
        <v>472.9</v>
      </c>
    </row>
    <row r="9" spans="2:24" x14ac:dyDescent="0.45">
      <c r="H9" s="6"/>
      <c r="M9" s="12">
        <v>3</v>
      </c>
      <c r="N9" s="11" t="s">
        <v>45</v>
      </c>
      <c r="O9" s="13">
        <v>45786</v>
      </c>
      <c r="P9" s="13">
        <v>45788</v>
      </c>
      <c r="Q9" s="11" t="s">
        <v>40</v>
      </c>
      <c r="R9" s="10">
        <v>3</v>
      </c>
      <c r="S9" s="11" t="s">
        <v>23</v>
      </c>
      <c r="T9" s="11" t="s">
        <v>42</v>
      </c>
      <c r="U9" s="11" t="s">
        <v>46</v>
      </c>
      <c r="V9" s="10">
        <v>93</v>
      </c>
      <c r="W9" s="10">
        <v>54.42</v>
      </c>
    </row>
    <row r="10" spans="2:24" x14ac:dyDescent="0.45">
      <c r="B10" t="s">
        <v>15</v>
      </c>
      <c r="D10" s="9">
        <v>740</v>
      </c>
      <c r="E10" s="9">
        <v>0</v>
      </c>
      <c r="F10" s="9">
        <v>175</v>
      </c>
      <c r="G10" s="9"/>
      <c r="H10" s="6">
        <f>SUM(D10:G10)</f>
        <v>915</v>
      </c>
      <c r="I10" t="s">
        <v>15</v>
      </c>
      <c r="J10" s="5" t="str">
        <f>ROUND(H10*100/$H$18, 2) &amp; "%"</f>
        <v>22,64%</v>
      </c>
      <c r="M10" s="12">
        <v>4</v>
      </c>
      <c r="N10" s="11" t="s">
        <v>47</v>
      </c>
      <c r="O10" s="13">
        <v>45793</v>
      </c>
      <c r="P10" s="13">
        <v>45795</v>
      </c>
      <c r="Q10" s="11" t="s">
        <v>40</v>
      </c>
      <c r="R10" s="10">
        <v>3</v>
      </c>
      <c r="S10" s="11" t="s">
        <v>23</v>
      </c>
      <c r="T10" s="11" t="s">
        <v>42</v>
      </c>
      <c r="U10" s="11" t="s">
        <v>46</v>
      </c>
      <c r="V10" s="10">
        <v>120</v>
      </c>
      <c r="W10" s="10">
        <v>70.849999999999994</v>
      </c>
    </row>
    <row r="11" spans="2:24" x14ac:dyDescent="0.45">
      <c r="B11" t="s">
        <v>16</v>
      </c>
      <c r="D11" s="9">
        <v>180</v>
      </c>
      <c r="E11" s="9">
        <v>180</v>
      </c>
      <c r="F11" s="9">
        <v>170</v>
      </c>
      <c r="G11" s="9"/>
      <c r="H11" s="6">
        <f>SUM(D11:G11)</f>
        <v>530</v>
      </c>
      <c r="I11" t="s">
        <v>16</v>
      </c>
      <c r="J11" s="5" t="str">
        <f t="shared" ref="J11:J15" si="0">ROUND(H11*100/$H$18, 2) &amp; "%"</f>
        <v>13,11%</v>
      </c>
      <c r="M11" s="12">
        <v>5</v>
      </c>
      <c r="N11" s="11" t="s">
        <v>48</v>
      </c>
      <c r="O11" s="13">
        <v>45803</v>
      </c>
      <c r="P11" s="13">
        <v>45806</v>
      </c>
      <c r="Q11" s="11" t="s">
        <v>40</v>
      </c>
      <c r="R11" s="10">
        <v>4</v>
      </c>
      <c r="S11" s="11" t="s">
        <v>23</v>
      </c>
      <c r="T11" s="11" t="s">
        <v>42</v>
      </c>
      <c r="U11" s="11" t="s">
        <v>46</v>
      </c>
      <c r="V11" s="10">
        <v>140</v>
      </c>
      <c r="W11" s="10">
        <v>88.8</v>
      </c>
    </row>
    <row r="12" spans="2:24" x14ac:dyDescent="0.45">
      <c r="B12" t="s">
        <v>17</v>
      </c>
      <c r="D12" s="9">
        <v>240</v>
      </c>
      <c r="E12" s="9">
        <v>0</v>
      </c>
      <c r="F12" s="9">
        <v>120</v>
      </c>
      <c r="G12" s="9"/>
      <c r="H12" s="6">
        <f>SUM(D12:G12)</f>
        <v>360</v>
      </c>
      <c r="I12" t="s">
        <v>17</v>
      </c>
      <c r="J12" s="5" t="str">
        <f t="shared" si="0"/>
        <v>8,91%</v>
      </c>
      <c r="M12" s="12">
        <v>6</v>
      </c>
      <c r="N12" s="11" t="s">
        <v>49</v>
      </c>
      <c r="O12" s="13">
        <v>45808</v>
      </c>
      <c r="P12" s="13">
        <v>45816</v>
      </c>
      <c r="Q12" s="11" t="s">
        <v>40</v>
      </c>
      <c r="R12" s="10">
        <v>9</v>
      </c>
      <c r="S12" s="11" t="s">
        <v>10</v>
      </c>
      <c r="T12" s="11" t="s">
        <v>50</v>
      </c>
      <c r="U12" s="11" t="s">
        <v>51</v>
      </c>
      <c r="V12" s="10" t="s">
        <v>74</v>
      </c>
      <c r="W12" s="10" t="s">
        <v>75</v>
      </c>
    </row>
    <row r="13" spans="2:24" x14ac:dyDescent="0.45">
      <c r="B13" t="s">
        <v>18</v>
      </c>
      <c r="D13" s="9">
        <v>200</v>
      </c>
      <c r="E13" s="9">
        <v>80</v>
      </c>
      <c r="F13" s="9">
        <v>120</v>
      </c>
      <c r="G13" s="9"/>
      <c r="H13" s="6">
        <f>SUM(D13:G13)</f>
        <v>400</v>
      </c>
      <c r="I13" t="s">
        <v>18</v>
      </c>
      <c r="J13" s="5" t="str">
        <f t="shared" si="0"/>
        <v>9,9%</v>
      </c>
      <c r="M13" s="12">
        <v>7</v>
      </c>
      <c r="N13" s="11" t="s">
        <v>52</v>
      </c>
      <c r="O13" s="13">
        <v>45816</v>
      </c>
      <c r="P13" s="13">
        <v>45823</v>
      </c>
      <c r="Q13" s="11" t="s">
        <v>40</v>
      </c>
      <c r="R13" s="10">
        <v>8</v>
      </c>
      <c r="S13" s="11" t="s">
        <v>41</v>
      </c>
      <c r="T13" s="11" t="s">
        <v>42</v>
      </c>
      <c r="U13" s="11" t="s">
        <v>53</v>
      </c>
      <c r="V13" s="10">
        <v>900</v>
      </c>
      <c r="W13" s="10">
        <v>845.5</v>
      </c>
    </row>
    <row r="14" spans="2:24" x14ac:dyDescent="0.45">
      <c r="B14" t="s">
        <v>19</v>
      </c>
      <c r="D14" s="9">
        <v>12</v>
      </c>
      <c r="E14" s="9">
        <v>80</v>
      </c>
      <c r="F14" s="9">
        <v>140</v>
      </c>
      <c r="G14" s="9"/>
      <c r="H14" s="6">
        <f>SUM(D14:G14)</f>
        <v>232</v>
      </c>
      <c r="I14" t="s">
        <v>19</v>
      </c>
      <c r="J14" s="5" t="str">
        <f t="shared" si="0"/>
        <v>5,74%</v>
      </c>
      <c r="M14" s="12">
        <v>8</v>
      </c>
      <c r="N14" s="11" t="s">
        <v>54</v>
      </c>
      <c r="O14" s="13">
        <v>45838</v>
      </c>
      <c r="P14" s="13">
        <v>45851</v>
      </c>
      <c r="Q14" s="11" t="s">
        <v>40</v>
      </c>
      <c r="R14" s="10">
        <v>14</v>
      </c>
      <c r="S14" s="11" t="s">
        <v>23</v>
      </c>
      <c r="T14" s="11" t="s">
        <v>42</v>
      </c>
      <c r="U14" s="11" t="s">
        <v>55</v>
      </c>
      <c r="V14" s="10">
        <v>2742</v>
      </c>
      <c r="W14" s="10" t="s">
        <v>76</v>
      </c>
    </row>
    <row r="15" spans="2:24" x14ac:dyDescent="0.45">
      <c r="B15" t="s">
        <v>20</v>
      </c>
      <c r="D15" s="9">
        <v>1200</v>
      </c>
      <c r="E15" s="9">
        <f>25*6</f>
        <v>150</v>
      </c>
      <c r="F15" s="9">
        <v>0</v>
      </c>
      <c r="G15" s="9"/>
      <c r="H15" s="6">
        <f>SUM(D15:G15)</f>
        <v>1350</v>
      </c>
      <c r="I15" t="s">
        <v>20</v>
      </c>
      <c r="J15" s="5" t="str">
        <f t="shared" si="0"/>
        <v>33,4%</v>
      </c>
      <c r="M15" s="12">
        <v>9</v>
      </c>
      <c r="N15" s="11" t="s">
        <v>78</v>
      </c>
      <c r="O15" s="13">
        <v>45829</v>
      </c>
      <c r="P15" s="13">
        <v>45949</v>
      </c>
      <c r="Q15" s="11" t="s">
        <v>56</v>
      </c>
      <c r="R15" s="10">
        <v>121</v>
      </c>
      <c r="S15" s="11" t="s">
        <v>26</v>
      </c>
      <c r="T15" s="11" t="s">
        <v>57</v>
      </c>
      <c r="U15" s="11" t="s">
        <v>58</v>
      </c>
      <c r="V15" s="10" t="s">
        <v>72</v>
      </c>
      <c r="W15" s="14" t="s">
        <v>73</v>
      </c>
      <c r="X15" s="18" t="s">
        <v>77</v>
      </c>
    </row>
    <row r="16" spans="2:24" x14ac:dyDescent="0.45">
      <c r="B16" t="s">
        <v>21</v>
      </c>
      <c r="D16" s="9">
        <v>170</v>
      </c>
      <c r="E16" s="9">
        <v>50</v>
      </c>
      <c r="F16" s="9">
        <v>35</v>
      </c>
      <c r="G16" s="9"/>
      <c r="H16" s="6">
        <f>SUM(D16:G16)</f>
        <v>255</v>
      </c>
      <c r="I16" t="s">
        <v>21</v>
      </c>
      <c r="J16" s="5" t="str">
        <f>ROUND(H16*100/$H$18, 2) &amp; "%"</f>
        <v>6,31%</v>
      </c>
      <c r="M16" s="12">
        <v>10</v>
      </c>
      <c r="N16" s="11" t="s">
        <v>59</v>
      </c>
      <c r="O16" s="13">
        <v>45886</v>
      </c>
      <c r="P16" s="13">
        <v>45893</v>
      </c>
      <c r="Q16" s="11" t="s">
        <v>40</v>
      </c>
      <c r="R16" s="10">
        <v>8</v>
      </c>
      <c r="S16" s="11" t="s">
        <v>24</v>
      </c>
      <c r="T16" s="11" t="s">
        <v>60</v>
      </c>
      <c r="U16" s="11" t="s">
        <v>61</v>
      </c>
      <c r="V16" s="5">
        <v>540</v>
      </c>
      <c r="W16" s="10">
        <v>416.95</v>
      </c>
    </row>
    <row r="17" spans="2:23" x14ac:dyDescent="0.45">
      <c r="D17" s="5"/>
      <c r="E17" s="5"/>
      <c r="F17" s="5"/>
      <c r="G17" s="5"/>
      <c r="H17" s="6"/>
      <c r="M17" s="12">
        <v>11</v>
      </c>
      <c r="N17" s="11" t="s">
        <v>62</v>
      </c>
      <c r="O17" s="13">
        <v>45893</v>
      </c>
      <c r="P17" s="13">
        <v>45900</v>
      </c>
      <c r="Q17" s="11" t="s">
        <v>40</v>
      </c>
      <c r="R17" s="10">
        <v>8</v>
      </c>
      <c r="S17" s="11" t="s">
        <v>25</v>
      </c>
      <c r="T17" s="11" t="s">
        <v>63</v>
      </c>
      <c r="U17" s="11" t="s">
        <v>64</v>
      </c>
      <c r="V17" s="10">
        <v>760</v>
      </c>
      <c r="W17" s="10">
        <v>523.41</v>
      </c>
    </row>
    <row r="18" spans="2:23" x14ac:dyDescent="0.45">
      <c r="B18" t="s">
        <v>1</v>
      </c>
      <c r="D18" s="5">
        <f>SUM(D10:D16)</f>
        <v>2742</v>
      </c>
      <c r="E18" s="5">
        <f>SUM(E10:E16)</f>
        <v>540</v>
      </c>
      <c r="F18" s="5">
        <f t="shared" ref="E18:F18" si="1">SUM(F10:F16)</f>
        <v>760</v>
      </c>
      <c r="G18" s="5"/>
      <c r="H18" s="6">
        <f>SUM(H10:H16)</f>
        <v>4042</v>
      </c>
      <c r="M18" s="12">
        <v>12</v>
      </c>
      <c r="N18" s="11" t="s">
        <v>65</v>
      </c>
      <c r="O18" s="13">
        <v>45962</v>
      </c>
      <c r="P18" s="13">
        <v>45963</v>
      </c>
      <c r="Q18" s="11" t="s">
        <v>40</v>
      </c>
      <c r="R18" s="10">
        <v>2</v>
      </c>
      <c r="S18" s="11" t="s">
        <v>66</v>
      </c>
      <c r="T18" s="11" t="s">
        <v>42</v>
      </c>
      <c r="U18" s="11" t="s">
        <v>67</v>
      </c>
      <c r="V18" s="10">
        <v>700</v>
      </c>
      <c r="W18" s="10">
        <v>698.39</v>
      </c>
    </row>
    <row r="19" spans="2:23" x14ac:dyDescent="0.45">
      <c r="D19" s="5" t="str">
        <f>ROUND(D18*100/$H$18, 2) &amp; "%"</f>
        <v>67,84%</v>
      </c>
      <c r="E19" s="5" t="str">
        <f t="shared" ref="E19:F19" si="2">ROUND(E18*100/$H$18, 2) &amp; "%"</f>
        <v>13,36%</v>
      </c>
      <c r="F19" s="5" t="str">
        <f t="shared" si="2"/>
        <v>18,8%</v>
      </c>
      <c r="G19" s="5"/>
      <c r="W19" s="17"/>
    </row>
    <row r="20" spans="2:23" x14ac:dyDescent="0.45">
      <c r="W20">
        <f>SUM(W7:W18)</f>
        <v>3211.22</v>
      </c>
    </row>
    <row r="22" spans="2:23" x14ac:dyDescent="0.45">
      <c r="B22" t="s">
        <v>22</v>
      </c>
    </row>
  </sheetData>
  <mergeCells count="1">
    <mergeCell ref="D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EC44-44DD-46AE-AC03-BA1CB2CB45EE}">
  <dimension ref="B3:AD53"/>
  <sheetViews>
    <sheetView topLeftCell="S1" zoomScale="85" zoomScaleNormal="85" workbookViewId="0">
      <selection activeCell="W20" sqref="W20"/>
    </sheetView>
  </sheetViews>
  <sheetFormatPr defaultRowHeight="14.25" x14ac:dyDescent="0.45"/>
  <cols>
    <col min="4" max="4" width="18.9296875" customWidth="1"/>
    <col min="5" max="6" width="9.796875" bestFit="1" customWidth="1"/>
    <col min="11" max="11" width="6.265625" customWidth="1"/>
    <col min="12" max="12" width="20.33203125" customWidth="1"/>
    <col min="14" max="14" width="19.46484375" customWidth="1"/>
    <col min="20" max="20" width="2.73046875" bestFit="1" customWidth="1"/>
    <col min="21" max="21" width="36.33203125" customWidth="1"/>
    <col min="22" max="22" width="18.59765625" customWidth="1"/>
    <col min="23" max="23" width="20.06640625" customWidth="1"/>
    <col min="24" max="24" width="14.73046875" customWidth="1"/>
    <col min="25" max="25" width="22.06640625" customWidth="1"/>
    <col min="26" max="26" width="17.265625" customWidth="1"/>
    <col min="27" max="27" width="16.9296875" customWidth="1"/>
    <col min="28" max="28" width="25.9296875" customWidth="1"/>
    <col min="29" max="29" width="18.9296875" customWidth="1"/>
  </cols>
  <sheetData>
    <row r="3" spans="2:30" x14ac:dyDescent="0.45">
      <c r="O3" t="s">
        <v>0</v>
      </c>
      <c r="P3" s="1"/>
    </row>
    <row r="4" spans="2:30" x14ac:dyDescent="0.45">
      <c r="B4" s="2"/>
      <c r="E4" s="3">
        <v>2026</v>
      </c>
      <c r="F4" s="3"/>
      <c r="G4" s="3"/>
      <c r="H4" s="3"/>
      <c r="I4" s="3"/>
      <c r="J4" s="3"/>
      <c r="K4" s="5"/>
      <c r="L4" t="s">
        <v>1</v>
      </c>
      <c r="O4" t="s">
        <v>2</v>
      </c>
      <c r="P4" s="4"/>
      <c r="T4" s="10" t="s">
        <v>27</v>
      </c>
      <c r="U4" s="10" t="s">
        <v>28</v>
      </c>
      <c r="V4" s="10" t="s">
        <v>29</v>
      </c>
      <c r="W4" s="10" t="s">
        <v>30</v>
      </c>
      <c r="X4" s="10" t="s">
        <v>31</v>
      </c>
      <c r="Y4" s="10" t="s">
        <v>32</v>
      </c>
      <c r="Z4" s="10" t="s">
        <v>33</v>
      </c>
      <c r="AA4" s="10" t="s">
        <v>34</v>
      </c>
      <c r="AB4" s="10" t="s">
        <v>35</v>
      </c>
      <c r="AC4" s="10" t="s">
        <v>36</v>
      </c>
      <c r="AD4" s="10" t="s">
        <v>37</v>
      </c>
    </row>
    <row r="5" spans="2:30" x14ac:dyDescent="0.45">
      <c r="C5" t="s">
        <v>3</v>
      </c>
      <c r="E5" s="5" t="s">
        <v>4</v>
      </c>
      <c r="F5" s="5" t="s">
        <v>5</v>
      </c>
      <c r="G5" s="5" t="s">
        <v>5</v>
      </c>
      <c r="H5" s="5" t="s">
        <v>6</v>
      </c>
      <c r="I5" s="5" t="s">
        <v>6</v>
      </c>
      <c r="J5" s="5" t="s">
        <v>7</v>
      </c>
      <c r="T5" s="19">
        <v>1</v>
      </c>
      <c r="U5" s="11" t="s">
        <v>81</v>
      </c>
      <c r="V5" s="13">
        <v>46043</v>
      </c>
      <c r="W5" s="13">
        <v>46056</v>
      </c>
      <c r="X5" s="11" t="s">
        <v>40</v>
      </c>
      <c r="Y5" s="10">
        <v>14</v>
      </c>
      <c r="Z5" s="11" t="s">
        <v>82</v>
      </c>
      <c r="AA5" s="11" t="s">
        <v>83</v>
      </c>
      <c r="AB5" s="11" t="s">
        <v>84</v>
      </c>
      <c r="AC5" s="10">
        <v>2623.5</v>
      </c>
      <c r="AD5" s="10">
        <v>2499.04</v>
      </c>
    </row>
    <row r="6" spans="2:30" x14ac:dyDescent="0.45">
      <c r="C6" t="s">
        <v>8</v>
      </c>
      <c r="E6" s="5" t="s">
        <v>9</v>
      </c>
      <c r="F6" s="5" t="s">
        <v>10</v>
      </c>
      <c r="G6" s="5" t="s">
        <v>11</v>
      </c>
      <c r="H6" s="5" t="s">
        <v>11</v>
      </c>
      <c r="I6" s="5" t="s">
        <v>12</v>
      </c>
      <c r="J6" s="5" t="s">
        <v>13</v>
      </c>
      <c r="T6" s="19">
        <v>2</v>
      </c>
      <c r="U6" s="11" t="s">
        <v>85</v>
      </c>
      <c r="V6" s="20">
        <v>46039</v>
      </c>
      <c r="W6" s="20">
        <v>46040</v>
      </c>
      <c r="X6" s="11" t="s">
        <v>86</v>
      </c>
      <c r="Y6" s="10">
        <v>2</v>
      </c>
      <c r="Z6" s="11" t="s">
        <v>87</v>
      </c>
      <c r="AA6" s="11" t="s">
        <v>42</v>
      </c>
      <c r="AB6" s="11" t="s">
        <v>88</v>
      </c>
      <c r="AC6" s="10">
        <v>120</v>
      </c>
      <c r="AD6" s="10">
        <v>106.1</v>
      </c>
    </row>
    <row r="7" spans="2:30" x14ac:dyDescent="0.45">
      <c r="C7" t="s">
        <v>14</v>
      </c>
      <c r="E7" s="5">
        <v>19</v>
      </c>
      <c r="F7" s="5">
        <v>5</v>
      </c>
      <c r="G7" s="5">
        <v>8</v>
      </c>
      <c r="H7" s="5">
        <v>7</v>
      </c>
      <c r="I7" s="5">
        <v>7</v>
      </c>
      <c r="J7" s="5">
        <v>5</v>
      </c>
      <c r="L7" s="6">
        <f>SUM(E7:J7)</f>
        <v>51</v>
      </c>
      <c r="T7" s="19">
        <v>3</v>
      </c>
      <c r="U7" s="11" t="s">
        <v>89</v>
      </c>
      <c r="V7" s="13">
        <v>46092</v>
      </c>
      <c r="W7" s="13">
        <v>46092</v>
      </c>
      <c r="X7" s="11" t="s">
        <v>40</v>
      </c>
      <c r="Y7" s="10">
        <v>1</v>
      </c>
      <c r="Z7" s="11" t="s">
        <v>41</v>
      </c>
      <c r="AA7" s="11" t="s">
        <v>42</v>
      </c>
      <c r="AB7" s="11"/>
      <c r="AC7" s="10">
        <v>30</v>
      </c>
      <c r="AD7" s="10">
        <v>0</v>
      </c>
    </row>
    <row r="8" spans="2:30" x14ac:dyDescent="0.45">
      <c r="L8" s="6"/>
      <c r="T8" s="19">
        <v>4</v>
      </c>
      <c r="U8" s="11" t="s">
        <v>90</v>
      </c>
      <c r="V8" s="13">
        <v>46095</v>
      </c>
      <c r="W8" s="13">
        <v>46096</v>
      </c>
      <c r="X8" s="11" t="s">
        <v>40</v>
      </c>
      <c r="Y8" s="10">
        <v>2</v>
      </c>
      <c r="Z8" s="11" t="s">
        <v>41</v>
      </c>
      <c r="AA8" s="11" t="s">
        <v>42</v>
      </c>
      <c r="AB8" s="11"/>
      <c r="AC8" s="10">
        <v>70</v>
      </c>
      <c r="AD8" s="10">
        <v>45</v>
      </c>
    </row>
    <row r="9" spans="2:30" x14ac:dyDescent="0.45">
      <c r="C9" t="s">
        <v>15</v>
      </c>
      <c r="E9" s="7">
        <v>2200</v>
      </c>
      <c r="F9" s="8">
        <v>140</v>
      </c>
      <c r="G9" s="8">
        <v>100</v>
      </c>
      <c r="H9" s="8">
        <v>350</v>
      </c>
      <c r="I9" s="8">
        <v>400</v>
      </c>
      <c r="J9" s="8">
        <v>200</v>
      </c>
      <c r="L9" s="6">
        <f>SUM(E9:J9)</f>
        <v>3390</v>
      </c>
      <c r="M9" t="s">
        <v>15</v>
      </c>
      <c r="N9" s="5" t="str">
        <f>ROUND(L9*100/$L$17, 2) &amp; "%"</f>
        <v>35,33%</v>
      </c>
      <c r="T9" s="19">
        <v>5</v>
      </c>
      <c r="U9" s="11" t="s">
        <v>91</v>
      </c>
      <c r="V9" s="13">
        <v>46129</v>
      </c>
      <c r="W9" s="13">
        <v>46130</v>
      </c>
      <c r="X9" s="11" t="s">
        <v>40</v>
      </c>
      <c r="Y9" s="10">
        <v>2</v>
      </c>
      <c r="Z9" s="11" t="s">
        <v>92</v>
      </c>
      <c r="AA9" s="11" t="s">
        <v>42</v>
      </c>
      <c r="AB9" s="11"/>
      <c r="AC9" s="10">
        <v>420</v>
      </c>
      <c r="AD9" s="10">
        <v>837.5</v>
      </c>
    </row>
    <row r="10" spans="2:30" x14ac:dyDescent="0.45">
      <c r="C10" t="s">
        <v>16</v>
      </c>
      <c r="E10" s="7">
        <v>2725</v>
      </c>
      <c r="F10" s="8">
        <v>120</v>
      </c>
      <c r="G10" s="8">
        <v>140</v>
      </c>
      <c r="H10" s="8">
        <v>0</v>
      </c>
      <c r="I10" s="8">
        <v>250</v>
      </c>
      <c r="J10" s="8">
        <v>180</v>
      </c>
      <c r="L10" s="6">
        <f>SUM(E10:J10)</f>
        <v>3415</v>
      </c>
      <c r="M10" t="s">
        <v>16</v>
      </c>
      <c r="N10" s="5" t="str">
        <f>ROUND(L10*100/$L$17, 2) &amp; "%"</f>
        <v>35,59%</v>
      </c>
      <c r="T10" s="19">
        <v>6</v>
      </c>
      <c r="U10" s="11" t="s">
        <v>93</v>
      </c>
      <c r="V10" s="13">
        <v>46135</v>
      </c>
      <c r="W10" s="13">
        <v>46139</v>
      </c>
      <c r="X10" s="11" t="s">
        <v>40</v>
      </c>
      <c r="Y10" s="10">
        <v>5</v>
      </c>
      <c r="Z10" s="11" t="s">
        <v>10</v>
      </c>
      <c r="AA10" s="11" t="s">
        <v>50</v>
      </c>
      <c r="AB10" s="11" t="s">
        <v>94</v>
      </c>
      <c r="AC10" s="10">
        <v>500</v>
      </c>
      <c r="AD10" s="10">
        <v>575.05999999999995</v>
      </c>
    </row>
    <row r="11" spans="2:30" x14ac:dyDescent="0.45">
      <c r="C11" t="s">
        <v>17</v>
      </c>
      <c r="E11" s="7">
        <v>240</v>
      </c>
      <c r="F11" s="8">
        <v>0</v>
      </c>
      <c r="G11" s="7">
        <v>0</v>
      </c>
      <c r="H11" s="8">
        <v>240</v>
      </c>
      <c r="I11" s="8">
        <v>240</v>
      </c>
      <c r="J11" s="7">
        <v>231</v>
      </c>
      <c r="L11" s="6">
        <f>SUM(E11:J11)</f>
        <v>951</v>
      </c>
      <c r="M11" t="s">
        <v>17</v>
      </c>
      <c r="N11" s="5" t="str">
        <f>ROUND(L11*100/$L$17, 2) &amp; "%"</f>
        <v>9,91%</v>
      </c>
      <c r="T11" s="19">
        <v>7</v>
      </c>
      <c r="U11" s="11" t="s">
        <v>95</v>
      </c>
      <c r="V11" s="13">
        <v>46151</v>
      </c>
      <c r="W11" s="13">
        <v>46152</v>
      </c>
      <c r="X11" s="11" t="s">
        <v>40</v>
      </c>
      <c r="Y11" s="10">
        <v>2</v>
      </c>
      <c r="Z11" s="11" t="s">
        <v>96</v>
      </c>
      <c r="AA11" s="11" t="s">
        <v>42</v>
      </c>
      <c r="AB11" s="11"/>
      <c r="AC11" s="10">
        <v>90</v>
      </c>
      <c r="AD11" s="10">
        <v>35</v>
      </c>
    </row>
    <row r="12" spans="2:30" x14ac:dyDescent="0.45">
      <c r="C12" t="s">
        <v>18</v>
      </c>
      <c r="E12" s="8">
        <v>450</v>
      </c>
      <c r="F12" s="8">
        <v>80</v>
      </c>
      <c r="G12" s="8">
        <v>100</v>
      </c>
      <c r="H12" s="8">
        <v>120</v>
      </c>
      <c r="I12" s="8">
        <v>120</v>
      </c>
      <c r="J12" s="8">
        <v>90</v>
      </c>
      <c r="L12" s="6">
        <f>SUM(E12:J12)</f>
        <v>960</v>
      </c>
      <c r="M12" t="s">
        <v>18</v>
      </c>
      <c r="N12" s="5" t="str">
        <f>ROUND(L12*100/$L$17, 2) &amp; "%"</f>
        <v>10%</v>
      </c>
      <c r="T12" s="19">
        <v>8</v>
      </c>
      <c r="U12" s="11" t="s">
        <v>97</v>
      </c>
      <c r="V12" s="13">
        <v>46165</v>
      </c>
      <c r="W12" s="13">
        <v>46166</v>
      </c>
      <c r="X12" s="11" t="s">
        <v>40</v>
      </c>
      <c r="Y12" s="10">
        <v>2</v>
      </c>
      <c r="Z12" s="11" t="s">
        <v>23</v>
      </c>
      <c r="AA12" s="11" t="s">
        <v>42</v>
      </c>
      <c r="AB12" s="11" t="s">
        <v>98</v>
      </c>
      <c r="AC12" s="10">
        <v>200</v>
      </c>
      <c r="AD12" s="10">
        <v>167.88</v>
      </c>
    </row>
    <row r="13" spans="2:30" x14ac:dyDescent="0.45">
      <c r="C13" t="s">
        <v>19</v>
      </c>
      <c r="E13" s="8">
        <v>100</v>
      </c>
      <c r="F13" s="8">
        <v>120</v>
      </c>
      <c r="G13" s="8">
        <v>140</v>
      </c>
      <c r="H13" s="7">
        <v>0</v>
      </c>
      <c r="I13" s="7">
        <v>0</v>
      </c>
      <c r="J13" s="7">
        <v>0</v>
      </c>
      <c r="L13" s="6">
        <f>SUM(E13:J13)</f>
        <v>360</v>
      </c>
      <c r="M13" t="s">
        <v>19</v>
      </c>
      <c r="N13" s="5" t="str">
        <f>ROUND(L13*100/$L$17, 2) &amp; "%"</f>
        <v>3,75%</v>
      </c>
      <c r="T13" s="19">
        <v>9</v>
      </c>
      <c r="U13" s="11" t="s">
        <v>99</v>
      </c>
      <c r="V13" s="13">
        <v>46179</v>
      </c>
      <c r="W13" s="13">
        <v>46180</v>
      </c>
      <c r="X13" s="11" t="s">
        <v>40</v>
      </c>
      <c r="Y13" s="10">
        <v>2</v>
      </c>
      <c r="Z13" s="11" t="s">
        <v>23</v>
      </c>
      <c r="AA13" s="11" t="s">
        <v>42</v>
      </c>
      <c r="AB13" s="11"/>
      <c r="AC13" s="10">
        <v>180</v>
      </c>
      <c r="AD13" s="10">
        <v>109.11</v>
      </c>
    </row>
    <row r="14" spans="2:30" x14ac:dyDescent="0.45">
      <c r="C14" t="s">
        <v>20</v>
      </c>
      <c r="E14" s="7">
        <v>0</v>
      </c>
      <c r="F14" s="8">
        <f>25*6</f>
        <v>150</v>
      </c>
      <c r="G14" s="7">
        <v>0</v>
      </c>
      <c r="H14" s="7">
        <v>0</v>
      </c>
      <c r="I14" s="7">
        <v>0</v>
      </c>
      <c r="J14" s="7">
        <v>0</v>
      </c>
      <c r="L14" s="6">
        <f>SUM(E14:J14)</f>
        <v>150</v>
      </c>
      <c r="M14" t="s">
        <v>20</v>
      </c>
      <c r="N14" s="5" t="str">
        <f>ROUND(L14*100/$L$17, 2) &amp; "%"</f>
        <v>1,56%</v>
      </c>
      <c r="T14" s="24">
        <v>10</v>
      </c>
      <c r="U14" s="11" t="s">
        <v>100</v>
      </c>
      <c r="V14" s="13">
        <v>46212</v>
      </c>
      <c r="W14" s="13">
        <v>46230</v>
      </c>
      <c r="X14" s="11" t="s">
        <v>40</v>
      </c>
      <c r="Y14" s="10">
        <v>19</v>
      </c>
      <c r="Z14" s="11" t="s">
        <v>101</v>
      </c>
      <c r="AA14" s="11" t="s">
        <v>102</v>
      </c>
      <c r="AB14" s="11"/>
      <c r="AC14" s="25">
        <v>6500</v>
      </c>
      <c r="AD14" s="21">
        <v>5920.2</v>
      </c>
    </row>
    <row r="15" spans="2:30" x14ac:dyDescent="0.45">
      <c r="C15" t="s">
        <v>21</v>
      </c>
      <c r="E15" s="7">
        <v>220</v>
      </c>
      <c r="F15" s="8">
        <v>50</v>
      </c>
      <c r="G15" s="7">
        <v>0</v>
      </c>
      <c r="H15" s="7">
        <v>0</v>
      </c>
      <c r="I15" s="7">
        <v>0</v>
      </c>
      <c r="J15" s="8">
        <v>100</v>
      </c>
      <c r="L15" s="6">
        <f>SUM(E15:J15)</f>
        <v>370</v>
      </c>
      <c r="M15" t="s">
        <v>21</v>
      </c>
      <c r="N15" s="5" t="str">
        <f>ROUND(L15*100/$L$17, 2) &amp; "%"</f>
        <v>3,86%</v>
      </c>
      <c r="T15" s="16">
        <v>11</v>
      </c>
      <c r="U15" s="11" t="s">
        <v>93</v>
      </c>
      <c r="V15" s="13">
        <v>46246</v>
      </c>
      <c r="W15" s="13">
        <v>46250</v>
      </c>
      <c r="X15" s="11" t="s">
        <v>40</v>
      </c>
      <c r="Y15" s="10">
        <v>5</v>
      </c>
      <c r="AB15" s="11"/>
      <c r="AC15" s="6">
        <v>660</v>
      </c>
      <c r="AD15" s="21">
        <v>0</v>
      </c>
    </row>
    <row r="16" spans="2:30" x14ac:dyDescent="0.45">
      <c r="E16" s="5"/>
      <c r="F16" s="5"/>
      <c r="G16" s="5"/>
      <c r="H16" s="5"/>
      <c r="I16" s="5"/>
      <c r="J16" s="5"/>
      <c r="L16" s="6"/>
      <c r="T16" s="16">
        <v>12</v>
      </c>
      <c r="U16" s="11" t="s">
        <v>103</v>
      </c>
      <c r="V16" s="13">
        <v>46258</v>
      </c>
      <c r="W16" s="13">
        <v>46265</v>
      </c>
      <c r="X16" s="11" t="s">
        <v>40</v>
      </c>
      <c r="Y16" s="10">
        <v>8</v>
      </c>
      <c r="Z16" s="11" t="s">
        <v>11</v>
      </c>
      <c r="AA16" s="11" t="s">
        <v>42</v>
      </c>
      <c r="AB16" s="11"/>
      <c r="AC16" s="6">
        <v>480</v>
      </c>
      <c r="AD16" s="21">
        <v>0</v>
      </c>
    </row>
    <row r="17" spans="3:30" x14ac:dyDescent="0.45">
      <c r="C17" t="s">
        <v>1</v>
      </c>
      <c r="E17" s="5">
        <f>SUM(E9:E15)</f>
        <v>5935</v>
      </c>
      <c r="F17" s="5">
        <f t="shared" ref="F17:J17" si="0">SUM(F9:F15)</f>
        <v>660</v>
      </c>
      <c r="G17" s="5">
        <f t="shared" si="0"/>
        <v>480</v>
      </c>
      <c r="H17" s="5">
        <f t="shared" si="0"/>
        <v>710</v>
      </c>
      <c r="I17" s="5">
        <f t="shared" si="0"/>
        <v>1010</v>
      </c>
      <c r="J17" s="5">
        <f t="shared" si="0"/>
        <v>801</v>
      </c>
      <c r="L17" s="6">
        <f>SUM(L9:L15)</f>
        <v>9596</v>
      </c>
      <c r="T17" s="10">
        <v>13</v>
      </c>
      <c r="U17" s="11" t="s">
        <v>104</v>
      </c>
      <c r="V17" s="13">
        <v>46265</v>
      </c>
      <c r="W17" s="13">
        <v>46271</v>
      </c>
      <c r="X17" s="11" t="s">
        <v>40</v>
      </c>
      <c r="Y17" s="10">
        <v>7</v>
      </c>
      <c r="Z17" s="11" t="s">
        <v>11</v>
      </c>
      <c r="AA17" s="11" t="s">
        <v>42</v>
      </c>
      <c r="AB17" s="11"/>
      <c r="AC17" s="6">
        <v>710</v>
      </c>
      <c r="AD17" s="21">
        <v>0</v>
      </c>
    </row>
    <row r="18" spans="3:30" x14ac:dyDescent="0.45">
      <c r="E18" s="5" t="str">
        <f>ROUND(E17*100/$L$17, 2) &amp; "%"</f>
        <v>61,85%</v>
      </c>
      <c r="F18" s="5" t="str">
        <f>ROUND(F17*100/$L$17, 2) &amp; "%"</f>
        <v>6,88%</v>
      </c>
      <c r="G18" s="5" t="str">
        <f>ROUND(G17*100/$L$17, 2) &amp; "%"</f>
        <v>5%</v>
      </c>
      <c r="H18" s="5" t="str">
        <f>ROUND(H17*100/$L$17, 2) &amp; "%"</f>
        <v>7,4%</v>
      </c>
      <c r="I18" s="5" t="str">
        <f>ROUND(I17*100/$L$17, 2) &amp; "%"</f>
        <v>10,53%</v>
      </c>
      <c r="J18" s="5" t="str">
        <f>ROUND(J17*100/$L$17, 2) &amp; "%"</f>
        <v>8,35%</v>
      </c>
      <c r="T18" s="10">
        <v>14</v>
      </c>
      <c r="U18" s="11" t="s">
        <v>105</v>
      </c>
      <c r="V18" s="13">
        <v>46272</v>
      </c>
      <c r="W18" s="13">
        <v>46278</v>
      </c>
      <c r="X18" s="11" t="s">
        <v>40</v>
      </c>
      <c r="Y18" s="10">
        <v>7</v>
      </c>
      <c r="Z18" s="11" t="s">
        <v>10</v>
      </c>
      <c r="AA18" s="11" t="s">
        <v>50</v>
      </c>
      <c r="AB18" s="11"/>
      <c r="AC18" s="6">
        <v>1010</v>
      </c>
      <c r="AD18" s="21">
        <v>0</v>
      </c>
    </row>
    <row r="19" spans="3:30" x14ac:dyDescent="0.45">
      <c r="T19" s="10">
        <v>15</v>
      </c>
      <c r="U19" s="22" t="s">
        <v>106</v>
      </c>
      <c r="V19" s="13">
        <v>46289</v>
      </c>
      <c r="W19" s="13">
        <v>46294</v>
      </c>
      <c r="X19" s="22"/>
      <c r="Y19" s="10">
        <v>6</v>
      </c>
      <c r="Z19" s="22" t="s">
        <v>107</v>
      </c>
      <c r="AA19" s="22" t="s">
        <v>42</v>
      </c>
      <c r="AB19" s="22"/>
      <c r="AC19" s="6">
        <v>801</v>
      </c>
      <c r="AD19" s="21">
        <v>0</v>
      </c>
    </row>
    <row r="20" spans="3:30" x14ac:dyDescent="0.45">
      <c r="T20" s="16"/>
      <c r="U20" s="22"/>
      <c r="V20" s="23"/>
      <c r="W20" s="23"/>
      <c r="X20" s="22"/>
      <c r="Y20" s="16"/>
      <c r="Z20" s="22"/>
      <c r="AA20" s="22"/>
      <c r="AB20" s="22"/>
      <c r="AC20" s="16"/>
      <c r="AD20" s="16"/>
    </row>
    <row r="21" spans="3:30" x14ac:dyDescent="0.45">
      <c r="C21" t="s">
        <v>22</v>
      </c>
      <c r="T21" s="16"/>
      <c r="U21" s="22"/>
      <c r="V21" s="22"/>
      <c r="W21" s="22"/>
      <c r="X21" s="22"/>
      <c r="Y21" s="22"/>
      <c r="Z21" s="22"/>
      <c r="AA21" s="22"/>
      <c r="AB21" s="22"/>
      <c r="AC21" s="22"/>
      <c r="AD21" s="22">
        <f>SUM(AD5:AD19)</f>
        <v>10294.89</v>
      </c>
    </row>
    <row r="35" spans="14:15" x14ac:dyDescent="0.45">
      <c r="N35" s="10"/>
      <c r="O35" s="10"/>
    </row>
    <row r="36" spans="14:15" x14ac:dyDescent="0.45">
      <c r="N36" s="16"/>
      <c r="O36" s="10"/>
    </row>
    <row r="37" spans="14:15" x14ac:dyDescent="0.45">
      <c r="N37" s="15"/>
      <c r="O37" s="10"/>
    </row>
    <row r="38" spans="14:15" x14ac:dyDescent="0.45">
      <c r="N38" s="15"/>
      <c r="O38" s="10"/>
    </row>
    <row r="39" spans="14:15" x14ac:dyDescent="0.45">
      <c r="N39" s="15"/>
      <c r="O39" s="10"/>
    </row>
    <row r="40" spans="14:15" x14ac:dyDescent="0.45">
      <c r="N40" s="16"/>
      <c r="O40" s="10"/>
    </row>
    <row r="41" spans="14:15" x14ac:dyDescent="0.45">
      <c r="N41" s="16"/>
      <c r="O41" s="10"/>
    </row>
    <row r="42" spans="14:15" x14ac:dyDescent="0.45">
      <c r="N42" s="15"/>
      <c r="O42" s="10"/>
    </row>
    <row r="43" spans="14:15" x14ac:dyDescent="0.45">
      <c r="N43" s="16"/>
      <c r="O43" s="10"/>
    </row>
    <row r="44" spans="14:15" x14ac:dyDescent="0.45">
      <c r="N44" s="15"/>
      <c r="O44" s="10"/>
    </row>
    <row r="45" spans="14:15" x14ac:dyDescent="0.45">
      <c r="N45" s="16"/>
      <c r="O45" s="10"/>
    </row>
    <row r="46" spans="14:15" x14ac:dyDescent="0.45">
      <c r="N46" s="15"/>
      <c r="O46" s="10"/>
    </row>
    <row r="47" spans="14:15" x14ac:dyDescent="0.45">
      <c r="N47" s="15"/>
      <c r="O47" s="10"/>
    </row>
    <row r="48" spans="14:15" x14ac:dyDescent="0.45">
      <c r="N48" s="15"/>
      <c r="O48" s="10"/>
    </row>
    <row r="49" spans="3:15" x14ac:dyDescent="0.45">
      <c r="N49" s="15"/>
      <c r="O49" s="10"/>
    </row>
    <row r="50" spans="3:15" x14ac:dyDescent="0.45">
      <c r="N50" s="15"/>
      <c r="O50" s="10"/>
    </row>
    <row r="51" spans="3:15" x14ac:dyDescent="0.45">
      <c r="N51" s="15"/>
      <c r="O51" s="10"/>
    </row>
    <row r="52" spans="3:15" x14ac:dyDescent="0.45">
      <c r="N52" s="15"/>
      <c r="O52" s="10"/>
    </row>
    <row r="53" spans="3:15" x14ac:dyDescent="0.45"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5"/>
      <c r="O53" s="10"/>
    </row>
  </sheetData>
  <mergeCells count="1">
    <mergeCell ref="E4:J4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FC12-535E-4726-8635-B3CC31BDF5FA}">
  <dimension ref="B4:P24"/>
  <sheetViews>
    <sheetView zoomScale="85" zoomScaleNormal="85" workbookViewId="0">
      <selection activeCell="R3" sqref="R3"/>
    </sheetView>
  </sheetViews>
  <sheetFormatPr defaultRowHeight="14.25" x14ac:dyDescent="0.45"/>
  <sheetData>
    <row r="4" spans="2:16" x14ac:dyDescent="0.45">
      <c r="P4" t="s">
        <v>68</v>
      </c>
    </row>
    <row r="5" spans="2:16" x14ac:dyDescent="0.45">
      <c r="D5" s="3">
        <v>2026</v>
      </c>
      <c r="E5" s="3"/>
      <c r="F5" s="3"/>
      <c r="G5" s="3"/>
      <c r="H5" s="3"/>
      <c r="I5" s="3"/>
      <c r="J5" s="3"/>
      <c r="K5" s="5"/>
      <c r="L5" t="s">
        <v>1</v>
      </c>
      <c r="P5" s="17"/>
    </row>
    <row r="6" spans="2:16" x14ac:dyDescent="0.45">
      <c r="B6" t="s">
        <v>3</v>
      </c>
      <c r="D6" s="5" t="s">
        <v>5</v>
      </c>
      <c r="E6" s="5" t="s">
        <v>6</v>
      </c>
      <c r="F6" s="5" t="s">
        <v>6</v>
      </c>
      <c r="G6" s="5" t="s">
        <v>6</v>
      </c>
      <c r="H6" s="5" t="s">
        <v>6</v>
      </c>
      <c r="I6" s="5" t="s">
        <v>4</v>
      </c>
      <c r="J6" s="5" t="s">
        <v>6</v>
      </c>
      <c r="K6" s="5" t="s">
        <v>111</v>
      </c>
    </row>
    <row r="7" spans="2:16" x14ac:dyDescent="0.45">
      <c r="B7" t="s">
        <v>8</v>
      </c>
      <c r="D7" s="5" t="s">
        <v>108</v>
      </c>
      <c r="E7" s="5" t="s">
        <v>24</v>
      </c>
      <c r="F7" s="5" t="s">
        <v>109</v>
      </c>
      <c r="G7" s="5" t="s">
        <v>110</v>
      </c>
      <c r="H7" s="5" t="s">
        <v>41</v>
      </c>
      <c r="I7" s="5" t="s">
        <v>10</v>
      </c>
      <c r="J7" s="5" t="s">
        <v>102</v>
      </c>
    </row>
    <row r="8" spans="2:16" x14ac:dyDescent="0.45">
      <c r="B8" t="s">
        <v>14</v>
      </c>
      <c r="D8" s="5">
        <v>28</v>
      </c>
      <c r="E8" s="5">
        <v>7</v>
      </c>
      <c r="F8" s="5">
        <v>7</v>
      </c>
      <c r="G8" s="5">
        <v>7</v>
      </c>
      <c r="H8" s="5">
        <v>7</v>
      </c>
      <c r="I8" s="5">
        <v>15</v>
      </c>
      <c r="J8" s="5">
        <v>7</v>
      </c>
      <c r="L8" s="6">
        <f>SUM(D8:J8)</f>
        <v>78</v>
      </c>
    </row>
    <row r="9" spans="2:16" x14ac:dyDescent="0.45">
      <c r="L9" s="6"/>
    </row>
    <row r="10" spans="2:16" x14ac:dyDescent="0.45">
      <c r="B10" t="s">
        <v>15</v>
      </c>
      <c r="D10" s="8">
        <v>900</v>
      </c>
      <c r="E10" s="8">
        <v>230</v>
      </c>
      <c r="F10" s="8">
        <v>320</v>
      </c>
      <c r="G10" s="8">
        <v>320</v>
      </c>
      <c r="H10" s="8">
        <f>580/4</f>
        <v>145</v>
      </c>
      <c r="I10" s="8">
        <v>630</v>
      </c>
      <c r="J10" s="8">
        <v>400</v>
      </c>
      <c r="L10" s="6">
        <f>SUM(D10:J10)</f>
        <v>2945</v>
      </c>
      <c r="M10" t="s">
        <v>15</v>
      </c>
      <c r="N10" s="5" t="str">
        <f>ROUND(L10*100/$L$18, 2) &amp; "%"</f>
        <v>30,84%</v>
      </c>
    </row>
    <row r="11" spans="2:16" x14ac:dyDescent="0.45">
      <c r="B11" t="s">
        <v>16</v>
      </c>
      <c r="D11" s="9">
        <v>1600</v>
      </c>
      <c r="E11" s="9">
        <v>250</v>
      </c>
      <c r="F11" s="9">
        <v>120</v>
      </c>
      <c r="G11" s="9">
        <v>240</v>
      </c>
      <c r="H11" s="9">
        <v>0</v>
      </c>
      <c r="I11" s="9">
        <v>130</v>
      </c>
      <c r="J11" s="9">
        <v>1200</v>
      </c>
      <c r="L11" s="6">
        <f>SUM(D11:J11)</f>
        <v>3540</v>
      </c>
      <c r="M11" t="s">
        <v>16</v>
      </c>
      <c r="N11" s="5" t="str">
        <f t="shared" ref="N11:N16" si="0">ROUND(L11*100/$L$18, 2) &amp; "%"</f>
        <v>37,07%</v>
      </c>
    </row>
    <row r="12" spans="2:16" x14ac:dyDescent="0.45">
      <c r="B12" t="s">
        <v>17</v>
      </c>
      <c r="D12" s="9">
        <v>0</v>
      </c>
      <c r="E12" s="8">
        <v>120</v>
      </c>
      <c r="F12" s="8">
        <v>120</v>
      </c>
      <c r="G12" s="8">
        <v>120</v>
      </c>
      <c r="H12" s="8">
        <v>120</v>
      </c>
      <c r="I12" s="8">
        <v>240</v>
      </c>
      <c r="J12" s="8">
        <v>120</v>
      </c>
      <c r="K12" s="9"/>
      <c r="L12" s="6">
        <f>SUM(D12:J12)</f>
        <v>840</v>
      </c>
      <c r="M12" t="s">
        <v>17</v>
      </c>
      <c r="N12" s="5" t="str">
        <f t="shared" si="0"/>
        <v>8,8%</v>
      </c>
    </row>
    <row r="13" spans="2:16" x14ac:dyDescent="0.45">
      <c r="B13" t="s">
        <v>18</v>
      </c>
      <c r="D13" s="9">
        <v>450</v>
      </c>
      <c r="E13" s="9">
        <v>100</v>
      </c>
      <c r="F13" s="9">
        <v>120</v>
      </c>
      <c r="G13" s="9">
        <v>120</v>
      </c>
      <c r="H13" s="9">
        <v>100</v>
      </c>
      <c r="I13" s="9">
        <v>250</v>
      </c>
      <c r="J13" s="9">
        <v>200</v>
      </c>
      <c r="L13" s="6">
        <f>SUM(D13:J13)</f>
        <v>1340</v>
      </c>
      <c r="M13" t="s">
        <v>18</v>
      </c>
      <c r="N13" s="5" t="str">
        <f t="shared" si="0"/>
        <v>14,03%</v>
      </c>
    </row>
    <row r="14" spans="2:16" x14ac:dyDescent="0.45">
      <c r="B14" t="s">
        <v>19</v>
      </c>
      <c r="D14" s="9">
        <v>230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L14" s="6">
        <f>SUM(D14:J14)</f>
        <v>230</v>
      </c>
      <c r="M14" t="s">
        <v>19</v>
      </c>
      <c r="N14" s="5" t="str">
        <f t="shared" si="0"/>
        <v>2,41%</v>
      </c>
    </row>
    <row r="15" spans="2:16" x14ac:dyDescent="0.45">
      <c r="B15" t="s">
        <v>20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L15" s="6">
        <f>SUM(D15:J15)</f>
        <v>0</v>
      </c>
      <c r="M15" t="s">
        <v>20</v>
      </c>
      <c r="N15" s="5" t="str">
        <f t="shared" si="0"/>
        <v>0%</v>
      </c>
    </row>
    <row r="16" spans="2:16" x14ac:dyDescent="0.45">
      <c r="B16" t="s">
        <v>21</v>
      </c>
      <c r="D16" s="9">
        <v>140</v>
      </c>
      <c r="E16" s="9">
        <v>80</v>
      </c>
      <c r="F16" s="9">
        <v>75</v>
      </c>
      <c r="G16" s="9">
        <v>90</v>
      </c>
      <c r="H16" s="9">
        <v>30</v>
      </c>
      <c r="I16" s="9">
        <v>110</v>
      </c>
      <c r="J16" s="9">
        <v>130</v>
      </c>
      <c r="L16" s="6">
        <f>SUM(D16:J16)</f>
        <v>655</v>
      </c>
      <c r="M16" t="s">
        <v>21</v>
      </c>
      <c r="N16" s="5" t="str">
        <f t="shared" si="0"/>
        <v>6,86%</v>
      </c>
    </row>
    <row r="17" spans="2:12" x14ac:dyDescent="0.45">
      <c r="D17" s="5"/>
      <c r="E17" s="5"/>
      <c r="F17" s="5"/>
      <c r="G17" s="5"/>
      <c r="H17" s="5"/>
      <c r="I17" s="5"/>
      <c r="J17" s="5"/>
      <c r="L17" s="6"/>
    </row>
    <row r="18" spans="2:12" x14ac:dyDescent="0.45">
      <c r="B18" t="s">
        <v>1</v>
      </c>
      <c r="D18" s="5">
        <f>SUM(D10:D16)</f>
        <v>3320</v>
      </c>
      <c r="E18" s="5">
        <f t="shared" ref="E18:I18" si="1">SUM(E10:E16)</f>
        <v>780</v>
      </c>
      <c r="F18" s="5">
        <f t="shared" si="1"/>
        <v>755</v>
      </c>
      <c r="G18" s="5">
        <f t="shared" si="1"/>
        <v>890</v>
      </c>
      <c r="H18" s="5">
        <f t="shared" si="1"/>
        <v>395</v>
      </c>
      <c r="I18" s="5">
        <f t="shared" si="1"/>
        <v>1360</v>
      </c>
      <c r="J18" s="5">
        <f t="shared" ref="J18" si="2">SUM(J10:J16)</f>
        <v>2050</v>
      </c>
      <c r="L18" s="6">
        <f>SUM(L10:L16)</f>
        <v>9550</v>
      </c>
    </row>
    <row r="19" spans="2:12" x14ac:dyDescent="0.45">
      <c r="D19" s="5" t="str">
        <f>ROUND(D18*100/$L$18, 2) &amp; "%"</f>
        <v>34,76%</v>
      </c>
      <c r="E19" s="5" t="str">
        <f>ROUND(E18*100/$L$18, 2) &amp; "%"</f>
        <v>8,17%</v>
      </c>
      <c r="F19" s="5" t="str">
        <f>ROUND(F18*100/$L$18, 2) &amp; "%"</f>
        <v>7,91%</v>
      </c>
      <c r="G19" s="5" t="str">
        <f>ROUND(G18*100/$L$18, 2) &amp; "%"</f>
        <v>9,32%</v>
      </c>
      <c r="H19" s="5" t="str">
        <f>ROUND(H18*100/$L$18, 2) &amp; "%"</f>
        <v>4,14%</v>
      </c>
      <c r="I19" s="5" t="str">
        <f>ROUND(I18*100/$L$18, 2) &amp; "%"</f>
        <v>14,24%</v>
      </c>
      <c r="J19" s="5" t="str">
        <f>ROUND(J18*100/$L$18, 2) &amp; "%"</f>
        <v>21,47%</v>
      </c>
    </row>
    <row r="22" spans="2:12" x14ac:dyDescent="0.45">
      <c r="B22" t="s">
        <v>22</v>
      </c>
    </row>
    <row r="24" spans="2:12" x14ac:dyDescent="0.45">
      <c r="B24" t="s">
        <v>112</v>
      </c>
    </row>
  </sheetData>
  <mergeCells count="1">
    <mergeCell ref="D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2025</vt:lpstr>
      <vt:lpstr>2026</vt:lpstr>
      <vt:lpstr>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SARAMANDIF TERENCE</dc:creator>
  <cp:lastModifiedBy>SARAMANDIF TERENCE</cp:lastModifiedBy>
  <dcterms:created xsi:type="dcterms:W3CDTF">2026-06-28T08:47:18Z</dcterms:created>
  <dcterms:modified xsi:type="dcterms:W3CDTF">2026-06-28T16:48:44Z</dcterms:modified>
</cp:coreProperties>
</file>